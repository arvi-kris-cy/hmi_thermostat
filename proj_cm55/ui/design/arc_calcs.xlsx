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repos\tstat\smart_thermostat_squareline\"/>
    </mc:Choice>
  </mc:AlternateContent>
  <xr:revisionPtr revIDLastSave="0" documentId="13_ncr:1_{DD07FC41-6036-43AE-99DA-417F45F057EC}" xr6:coauthVersionLast="36" xr6:coauthVersionMax="47" xr10:uidLastSave="{00000000-0000-0000-0000-000000000000}"/>
  <bookViews>
    <workbookView xWindow="3765" yWindow="3765" windowWidth="28800" windowHeight="15345" tabRatio="489" xr2:uid="{07024F4D-E5C7-4B8A-AB6A-143DE046C366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5" l="1"/>
  <c r="G26" i="5"/>
  <c r="H25" i="5"/>
  <c r="G25" i="5"/>
  <c r="G24" i="5"/>
  <c r="G10" i="5"/>
  <c r="G17" i="5"/>
  <c r="H23" i="5"/>
  <c r="H22" i="5"/>
  <c r="H21" i="5"/>
  <c r="H20" i="5"/>
  <c r="G19" i="5"/>
  <c r="E3" i="5"/>
  <c r="E18" i="5"/>
  <c r="D18" i="5"/>
  <c r="G18" i="5" s="1"/>
  <c r="D3" i="5"/>
  <c r="H18" i="5"/>
  <c r="G3" i="5"/>
  <c r="G6" i="5"/>
  <c r="G7" i="5"/>
  <c r="C6" i="5"/>
  <c r="R11" i="5"/>
  <c r="R4" i="5"/>
  <c r="U3" i="5"/>
  <c r="O3" i="5"/>
  <c r="L3" i="5"/>
  <c r="H12" i="5" s="1"/>
  <c r="G27" i="5" l="1"/>
  <c r="G28" i="5"/>
  <c r="H28" i="5"/>
  <c r="G16" i="5"/>
  <c r="G15" i="5"/>
  <c r="H27" i="5"/>
  <c r="G23" i="5"/>
  <c r="G14" i="5"/>
  <c r="G22" i="5"/>
  <c r="G13" i="5"/>
  <c r="G21" i="5"/>
  <c r="G12" i="5"/>
  <c r="G29" i="5"/>
  <c r="G20" i="5"/>
  <c r="G11" i="5"/>
  <c r="H29" i="5"/>
  <c r="G5" i="5"/>
  <c r="H11" i="5"/>
  <c r="H17" i="5"/>
  <c r="H16" i="5"/>
  <c r="G9" i="5"/>
  <c r="H15" i="5"/>
  <c r="H14" i="5"/>
  <c r="H13" i="5"/>
  <c r="G4" i="5"/>
  <c r="R5" i="5"/>
  <c r="G8" i="5"/>
  <c r="V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Krishnan Arvind (CSS ICW AM SOL ME)</author>
  </authors>
  <commentList>
    <comment ref="D3" authorId="0" shapeId="0" xr:uid="{D12DE28D-AA6D-484A-BDE5-C772E179C299}">
      <text>
        <r>
          <rPr>
            <b/>
            <sz val="9"/>
            <color indexed="81"/>
            <rFont val="Tahoma"/>
            <family val="2"/>
          </rPr>
          <t>Krishnan Arvind (CSS ICW AM SOL ME):</t>
        </r>
        <r>
          <rPr>
            <sz val="9"/>
            <color indexed="81"/>
            <rFont val="Tahoma"/>
            <family val="2"/>
          </rPr>
          <t xml:space="preserve">
temp.curr = setpoint.prev</t>
        </r>
      </text>
    </comment>
    <comment ref="E3" authorId="0" shapeId="0" xr:uid="{27FE9B0C-8E0B-4F64-9231-5486A33D410A}">
      <text>
        <r>
          <rPr>
            <b/>
            <sz val="9"/>
            <color indexed="81"/>
            <rFont val="Tahoma"/>
            <family val="2"/>
          </rPr>
          <t>Krishnan Arvind (CSS ICW AM SOL ME):</t>
        </r>
        <r>
          <rPr>
            <sz val="9"/>
            <color indexed="81"/>
            <rFont val="Tahoma"/>
            <family val="2"/>
          </rPr>
          <t xml:space="preserve">
if cooling, arc.value = &lt;min&gt;</t>
        </r>
      </text>
    </comment>
    <comment ref="D18" authorId="0" shapeId="0" xr:uid="{F005AAC9-94EC-461C-9F91-E004DE6A4EB4}">
      <text>
        <r>
          <rPr>
            <b/>
            <sz val="9"/>
            <color indexed="81"/>
            <rFont val="Tahoma"/>
            <family val="2"/>
          </rPr>
          <t>Krishnan Arvind (CSS ICW AM SOL ME):</t>
        </r>
        <r>
          <rPr>
            <sz val="9"/>
            <color indexed="81"/>
            <rFont val="Tahoma"/>
            <family val="2"/>
          </rPr>
          <t xml:space="preserve">
temp.curr = setpoint.prev
</t>
        </r>
      </text>
    </comment>
    <comment ref="E18" authorId="0" shapeId="0" xr:uid="{1ADC8DF0-942D-4491-A382-7F57801E4F56}">
      <text>
        <r>
          <rPr>
            <b/>
            <sz val="9"/>
            <color indexed="81"/>
            <rFont val="Tahoma"/>
            <family val="2"/>
          </rPr>
          <t>Krishnan Arvind (CSS ICW AM SOL ME):</t>
        </r>
        <r>
          <rPr>
            <sz val="9"/>
            <color indexed="81"/>
            <rFont val="Tahoma"/>
            <family val="2"/>
          </rPr>
          <t xml:space="preserve">
if heating, arc.value = &lt;max&gt;</t>
        </r>
      </text>
    </comment>
  </commentList>
</comments>
</file>

<file path=xl/sharedStrings.xml><?xml version="1.0" encoding="utf-8"?>
<sst xmlns="http://schemas.openxmlformats.org/spreadsheetml/2006/main" count="26" uniqueCount="19">
  <si>
    <t>setpoint</t>
  </si>
  <si>
    <t>prev</t>
  </si>
  <si>
    <t>curr</t>
  </si>
  <si>
    <t>arc (indicator)</t>
  </si>
  <si>
    <t>arc</t>
  </si>
  <si>
    <t>temp</t>
  </si>
  <si>
    <t>bg.start.angle</t>
  </si>
  <si>
    <t>bg.end.angle</t>
  </si>
  <si>
    <t>min</t>
  </si>
  <si>
    <t>max</t>
  </si>
  <si>
    <t>range</t>
  </si>
  <si>
    <t>bg.start.angle.max</t>
  </si>
  <si>
    <t>bg.start.angle.min</t>
  </si>
  <si>
    <t>bg.end.angle.min</t>
  </si>
  <si>
    <t>bg.end.angle.max</t>
  </si>
  <si>
    <t>arc.value</t>
  </si>
  <si>
    <t>case</t>
  </si>
  <si>
    <t>cooling</t>
  </si>
  <si>
    <t>heating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</si>
</sst>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0" tint="-0.14999847407452621"/>
      <name val="Arial"/>
      <family val="2"/>
    </font>
    <font>
      <b/>
      <sz val="11"/>
      <color theme="0" tint="-0.1499984740745262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6F570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/>
    <xf numFmtId="0" fontId="2" fillId="2" borderId="1" xfId="0" applyFont="1" applyFill="1" applyBorder="1"/>
    <xf numFmtId="1" fontId="2" fillId="2" borderId="1" xfId="0" applyNumberFormat="1" applyFont="1" applyFill="1" applyBorder="1"/>
    <xf numFmtId="1" fontId="1" fillId="2" borderId="1" xfId="0" applyNumberFormat="1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9"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color theme="0"/>
      </font>
      <fill>
        <patternFill>
          <bgColor rgb="FF078276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IFX2023" defaultPivotStyle="PivotStyleLight16">
    <tableStyle name="IFX2023" pivot="0" count="9" xr9:uid="{21AC3A74-B4CB-45D0-B22D-1051F2EC4894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mruColors>
      <color rgb="FF6F5701"/>
      <color rgb="FF0782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Infineon2023">
      <a:dk1>
        <a:srgbClr val="1D1D1D"/>
      </a:dk1>
      <a:lt1>
        <a:srgbClr val="FFFFFF"/>
      </a:lt1>
      <a:dk2>
        <a:srgbClr val="0A8276"/>
      </a:dk2>
      <a:lt2>
        <a:srgbClr val="8D8786"/>
      </a:lt2>
      <a:accent1>
        <a:srgbClr val="0A8276"/>
      </a:accent1>
      <a:accent2>
        <a:srgbClr val="575352"/>
      </a:accent2>
      <a:accent3>
        <a:srgbClr val="F97414"/>
      </a:accent3>
      <a:accent4>
        <a:srgbClr val="9BBA43"/>
      </a:accent4>
      <a:accent5>
        <a:srgbClr val="FCD442"/>
      </a:accent5>
      <a:accent6>
        <a:srgbClr val="9C216E"/>
      </a:accent6>
      <a:hlink>
        <a:srgbClr val="0A8276"/>
      </a:hlink>
      <a:folHlink>
        <a:srgbClr val="0A827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648D-BF06-4D48-9391-82B9A0717805}">
  <dimension ref="A1:V29"/>
  <sheetViews>
    <sheetView tabSelected="1" zoomScale="115" zoomScaleNormal="115" workbookViewId="0">
      <selection activeCell="G24" sqref="G24"/>
    </sheetView>
  </sheetViews>
  <sheetFormatPr defaultRowHeight="14.25" x14ac:dyDescent="0.2"/>
  <cols>
    <col min="1" max="1" width="20.5703125" style="1" customWidth="1"/>
    <col min="2" max="4" width="9.140625" style="1"/>
    <col min="5" max="5" width="11.5703125" style="1" customWidth="1"/>
    <col min="6" max="6" width="10.5703125" style="1" customWidth="1"/>
    <col min="7" max="8" width="13.5703125" style="1" customWidth="1"/>
    <col min="9" max="9" width="11.5703125" style="1" customWidth="1"/>
    <col min="10" max="12" width="9.140625" style="1"/>
    <col min="13" max="13" width="13.7109375" style="1" bestFit="1" customWidth="1"/>
    <col min="14" max="14" width="12.85546875" style="1" bestFit="1" customWidth="1"/>
    <col min="15" max="16" width="9.140625" style="1"/>
    <col min="17" max="17" width="18.42578125" style="1" bestFit="1" customWidth="1"/>
    <col min="18" max="18" width="17.85546875" style="1" bestFit="1" customWidth="1"/>
    <col min="19" max="19" width="17" style="1" bestFit="1" customWidth="1"/>
    <col min="20" max="20" width="17.7109375" style="1" bestFit="1" customWidth="1"/>
    <col min="21" max="16384" width="9.140625" style="1"/>
  </cols>
  <sheetData>
    <row r="1" spans="1:22" x14ac:dyDescent="0.2">
      <c r="A1" s="7"/>
      <c r="B1" s="8" t="s">
        <v>0</v>
      </c>
      <c r="C1" s="9"/>
      <c r="D1" s="2" t="s">
        <v>5</v>
      </c>
      <c r="E1" s="8" t="s">
        <v>3</v>
      </c>
      <c r="F1" s="9"/>
      <c r="G1" s="8" t="s">
        <v>4</v>
      </c>
      <c r="H1" s="9"/>
      <c r="J1" s="1" t="s">
        <v>4</v>
      </c>
      <c r="Q1" s="8" t="s">
        <v>3</v>
      </c>
      <c r="R1" s="9"/>
    </row>
    <row r="2" spans="1:22" x14ac:dyDescent="0.2">
      <c r="A2" s="1" t="s">
        <v>16</v>
      </c>
      <c r="B2" s="1" t="s">
        <v>1</v>
      </c>
      <c r="C2" s="1" t="s">
        <v>2</v>
      </c>
      <c r="D2" s="1" t="s">
        <v>2</v>
      </c>
      <c r="E2" s="1" t="s">
        <v>15</v>
      </c>
      <c r="G2" s="1" t="s">
        <v>6</v>
      </c>
      <c r="H2" s="1" t="s">
        <v>7</v>
      </c>
      <c r="J2" s="1" t="s">
        <v>8</v>
      </c>
      <c r="K2" s="1" t="s">
        <v>9</v>
      </c>
      <c r="L2" s="1" t="s">
        <v>10</v>
      </c>
      <c r="M2" s="1" t="s">
        <v>6</v>
      </c>
      <c r="N2" s="1" t="s">
        <v>7</v>
      </c>
      <c r="O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10</v>
      </c>
    </row>
    <row r="3" spans="1:22" ht="15" x14ac:dyDescent="0.25">
      <c r="A3" s="1" t="s">
        <v>17</v>
      </c>
      <c r="B3" s="1">
        <v>35</v>
      </c>
      <c r="C3" s="1">
        <v>30</v>
      </c>
      <c r="D3" s="4">
        <f>B3</f>
        <v>35</v>
      </c>
      <c r="E3" s="4">
        <f>J3</f>
        <v>15</v>
      </c>
      <c r="G3" s="5">
        <f t="shared" ref="G3:G10" si="0">$R$3+((C3-$J$3)/$L$3)*($R$4)</f>
        <v>337.5</v>
      </c>
      <c r="H3" s="4">
        <v>405</v>
      </c>
      <c r="J3" s="1">
        <v>15</v>
      </c>
      <c r="K3" s="1">
        <v>35</v>
      </c>
      <c r="L3" s="3">
        <f>K3-J3</f>
        <v>20</v>
      </c>
      <c r="M3" s="1">
        <v>120</v>
      </c>
      <c r="N3" s="1">
        <v>60</v>
      </c>
      <c r="O3" s="3">
        <f>M3-N3</f>
        <v>60</v>
      </c>
      <c r="Q3" s="1">
        <v>405</v>
      </c>
      <c r="R3" s="1">
        <v>135</v>
      </c>
      <c r="S3" s="1">
        <v>45</v>
      </c>
      <c r="U3" s="3">
        <f>R3-S3</f>
        <v>90</v>
      </c>
      <c r="V3" s="1">
        <f>U3/L3</f>
        <v>4.5</v>
      </c>
    </row>
    <row r="4" spans="1:22" ht="15" x14ac:dyDescent="0.25">
      <c r="C4" s="4">
        <v>35</v>
      </c>
      <c r="E4" s="1">
        <v>15</v>
      </c>
      <c r="G4" s="5">
        <f t="shared" si="0"/>
        <v>405</v>
      </c>
      <c r="H4" s="1">
        <v>405</v>
      </c>
      <c r="R4" s="3">
        <f>Q3-R3</f>
        <v>270</v>
      </c>
    </row>
    <row r="5" spans="1:22" ht="15" x14ac:dyDescent="0.25">
      <c r="C5" s="4">
        <v>30</v>
      </c>
      <c r="E5" s="1">
        <v>15</v>
      </c>
      <c r="G5" s="5">
        <f t="shared" si="0"/>
        <v>337.5</v>
      </c>
      <c r="H5" s="1">
        <v>405</v>
      </c>
      <c r="R5" s="1">
        <f>R4/20</f>
        <v>13.5</v>
      </c>
    </row>
    <row r="6" spans="1:22" ht="15" x14ac:dyDescent="0.25">
      <c r="C6" s="4">
        <f>(35+15)/2</f>
        <v>25</v>
      </c>
      <c r="E6" s="1">
        <v>15</v>
      </c>
      <c r="G6" s="5">
        <f t="shared" si="0"/>
        <v>270</v>
      </c>
      <c r="H6" s="1">
        <v>405</v>
      </c>
    </row>
    <row r="7" spans="1:22" ht="15" x14ac:dyDescent="0.25">
      <c r="C7" s="4">
        <v>22</v>
      </c>
      <c r="E7" s="1">
        <v>15</v>
      </c>
      <c r="G7" s="5">
        <f t="shared" si="0"/>
        <v>229.5</v>
      </c>
      <c r="H7" s="1">
        <v>405</v>
      </c>
    </row>
    <row r="8" spans="1:22" ht="15" x14ac:dyDescent="0.25">
      <c r="C8" s="4">
        <v>20</v>
      </c>
      <c r="E8" s="1">
        <v>15</v>
      </c>
      <c r="G8" s="5">
        <f t="shared" si="0"/>
        <v>202.5</v>
      </c>
      <c r="H8" s="1">
        <v>405</v>
      </c>
    </row>
    <row r="9" spans="1:22" ht="15" x14ac:dyDescent="0.25">
      <c r="C9" s="4">
        <v>15</v>
      </c>
      <c r="E9" s="1">
        <v>15</v>
      </c>
      <c r="G9" s="5">
        <f t="shared" si="0"/>
        <v>135</v>
      </c>
      <c r="H9" s="1">
        <v>405</v>
      </c>
    </row>
    <row r="10" spans="1:22" ht="15" x14ac:dyDescent="0.25">
      <c r="B10" s="4"/>
      <c r="C10" s="1">
        <v>35</v>
      </c>
      <c r="E10" s="1">
        <v>15</v>
      </c>
      <c r="G10" s="6">
        <f t="shared" si="0"/>
        <v>405</v>
      </c>
      <c r="H10" s="4">
        <v>405</v>
      </c>
    </row>
    <row r="11" spans="1:22" ht="15" x14ac:dyDescent="0.25">
      <c r="C11" s="1">
        <v>35</v>
      </c>
      <c r="D11" s="4">
        <v>34</v>
      </c>
      <c r="E11" s="1">
        <v>15</v>
      </c>
      <c r="G11" s="6">
        <f t="shared" ref="G11:G17" si="1">$R$3+((C11-$J$3)/$L$3)*($R$4)</f>
        <v>405</v>
      </c>
      <c r="H11" s="5">
        <f>$R$3+((D11-$J$3)/$L$3)*($R$4)</f>
        <v>391.5</v>
      </c>
      <c r="R11" s="1">
        <f>R10/20</f>
        <v>0</v>
      </c>
    </row>
    <row r="12" spans="1:22" ht="15" x14ac:dyDescent="0.25">
      <c r="C12" s="1">
        <v>35</v>
      </c>
      <c r="D12" s="4">
        <v>33</v>
      </c>
      <c r="E12" s="1">
        <v>15</v>
      </c>
      <c r="G12" s="6">
        <f t="shared" si="1"/>
        <v>405</v>
      </c>
      <c r="H12" s="5">
        <f t="shared" ref="H12:H17" si="2">$R$3+((D12-$J$3)/$L$3)*($R$4)</f>
        <v>378</v>
      </c>
    </row>
    <row r="13" spans="1:22" ht="15" x14ac:dyDescent="0.25">
      <c r="C13" s="1">
        <v>35</v>
      </c>
      <c r="D13" s="4">
        <v>32</v>
      </c>
      <c r="E13" s="1">
        <v>15</v>
      </c>
      <c r="G13" s="6">
        <f t="shared" si="1"/>
        <v>405</v>
      </c>
      <c r="H13" s="5">
        <f t="shared" si="2"/>
        <v>364.5</v>
      </c>
    </row>
    <row r="14" spans="1:22" ht="15" x14ac:dyDescent="0.25">
      <c r="C14" s="1">
        <v>35</v>
      </c>
      <c r="D14" s="4">
        <v>31</v>
      </c>
      <c r="E14" s="1">
        <v>15</v>
      </c>
      <c r="G14" s="6">
        <f t="shared" si="1"/>
        <v>405</v>
      </c>
      <c r="H14" s="5">
        <f t="shared" si="2"/>
        <v>351</v>
      </c>
    </row>
    <row r="15" spans="1:22" ht="15" x14ac:dyDescent="0.25">
      <c r="C15" s="1">
        <v>35</v>
      </c>
      <c r="D15" s="4">
        <v>30</v>
      </c>
      <c r="E15" s="1">
        <v>15</v>
      </c>
      <c r="G15" s="6">
        <f t="shared" si="1"/>
        <v>405</v>
      </c>
      <c r="H15" s="5">
        <f t="shared" si="2"/>
        <v>337.5</v>
      </c>
    </row>
    <row r="16" spans="1:22" ht="15" x14ac:dyDescent="0.25">
      <c r="C16" s="1">
        <v>35</v>
      </c>
      <c r="D16" s="4">
        <v>20</v>
      </c>
      <c r="E16" s="1">
        <v>15</v>
      </c>
      <c r="G16" s="6">
        <f t="shared" si="1"/>
        <v>405</v>
      </c>
      <c r="H16" s="5">
        <f t="shared" si="2"/>
        <v>202.5</v>
      </c>
    </row>
    <row r="17" spans="1:8" ht="15" x14ac:dyDescent="0.25">
      <c r="C17" s="1">
        <v>35</v>
      </c>
      <c r="D17" s="4">
        <v>15</v>
      </c>
      <c r="E17" s="1">
        <v>15</v>
      </c>
      <c r="G17" s="6">
        <f t="shared" si="1"/>
        <v>405</v>
      </c>
      <c r="H17" s="5">
        <f t="shared" si="2"/>
        <v>135</v>
      </c>
    </row>
    <row r="18" spans="1:8" ht="15" x14ac:dyDescent="0.25">
      <c r="A18" s="1" t="s">
        <v>18</v>
      </c>
      <c r="B18" s="1">
        <v>15</v>
      </c>
      <c r="C18" s="4">
        <v>20</v>
      </c>
      <c r="D18" s="4">
        <f>B18</f>
        <v>15</v>
      </c>
      <c r="E18" s="4">
        <f>K3</f>
        <v>35</v>
      </c>
      <c r="G18" s="5">
        <f>$R$3+((D18-$J$3)/$L$3)*($R$4)</f>
        <v>135</v>
      </c>
      <c r="H18" s="5">
        <f>$R$3+((C18-$J$3)/$L$3)*($R$4)</f>
        <v>202.5</v>
      </c>
    </row>
    <row r="19" spans="1:8" ht="15" x14ac:dyDescent="0.25">
      <c r="C19" s="4">
        <v>22</v>
      </c>
      <c r="D19" s="1">
        <v>15</v>
      </c>
      <c r="E19" s="1">
        <v>35</v>
      </c>
      <c r="G19" s="6">
        <f t="shared" ref="G19:G23" si="3">$R$3+((D19-$J$3)/$L$3)*($R$4)</f>
        <v>135</v>
      </c>
      <c r="H19" s="5">
        <v>405</v>
      </c>
    </row>
    <row r="20" spans="1:8" ht="15" x14ac:dyDescent="0.25">
      <c r="C20" s="4">
        <v>25</v>
      </c>
      <c r="D20" s="1">
        <v>15</v>
      </c>
      <c r="E20" s="1">
        <v>35</v>
      </c>
      <c r="G20" s="6">
        <f t="shared" si="3"/>
        <v>135</v>
      </c>
      <c r="H20" s="5">
        <f t="shared" ref="H20:H23" si="4">$R$3+((C20-$J$3)/$L$3)*($R$4)</f>
        <v>270</v>
      </c>
    </row>
    <row r="21" spans="1:8" ht="15" x14ac:dyDescent="0.25">
      <c r="C21" s="4">
        <v>30</v>
      </c>
      <c r="D21" s="1">
        <v>15</v>
      </c>
      <c r="E21" s="1">
        <v>35</v>
      </c>
      <c r="G21" s="6">
        <f t="shared" si="3"/>
        <v>135</v>
      </c>
      <c r="H21" s="5">
        <f t="shared" si="4"/>
        <v>337.5</v>
      </c>
    </row>
    <row r="22" spans="1:8" ht="15" x14ac:dyDescent="0.25">
      <c r="C22" s="4">
        <v>35</v>
      </c>
      <c r="D22" s="1">
        <v>15</v>
      </c>
      <c r="E22" s="1">
        <v>35</v>
      </c>
      <c r="G22" s="6">
        <f t="shared" si="3"/>
        <v>135</v>
      </c>
      <c r="H22" s="5">
        <f t="shared" si="4"/>
        <v>405</v>
      </c>
    </row>
    <row r="23" spans="1:8" ht="15" x14ac:dyDescent="0.25">
      <c r="C23" s="1">
        <v>35</v>
      </c>
      <c r="D23" s="4">
        <v>20</v>
      </c>
      <c r="E23" s="1">
        <v>35</v>
      </c>
      <c r="G23" s="5">
        <f t="shared" si="3"/>
        <v>202.5</v>
      </c>
      <c r="H23" s="6">
        <f t="shared" si="4"/>
        <v>405</v>
      </c>
    </row>
    <row r="24" spans="1:8" ht="15" x14ac:dyDescent="0.25">
      <c r="C24" s="1">
        <v>35</v>
      </c>
      <c r="D24" s="4">
        <v>21</v>
      </c>
      <c r="E24" s="1">
        <v>35</v>
      </c>
      <c r="G24" s="5">
        <f t="shared" ref="G24:G29" si="5">$R$3+((D24-$J$3)/$L$3)*($R$4)</f>
        <v>216</v>
      </c>
      <c r="H24" s="6">
        <v>405</v>
      </c>
    </row>
    <row r="25" spans="1:8" ht="15" x14ac:dyDescent="0.25">
      <c r="C25" s="1">
        <v>35</v>
      </c>
      <c r="D25" s="4">
        <v>22</v>
      </c>
      <c r="E25" s="1">
        <v>35</v>
      </c>
      <c r="G25" s="5">
        <f t="shared" si="5"/>
        <v>229.5</v>
      </c>
      <c r="H25" s="6">
        <f t="shared" ref="H25:H29" si="6">$R$3+((C25-$J$3)/$L$3)*($R$4)</f>
        <v>405</v>
      </c>
    </row>
    <row r="26" spans="1:8" ht="15" x14ac:dyDescent="0.25">
      <c r="C26" s="1">
        <v>35</v>
      </c>
      <c r="D26" s="4">
        <v>23</v>
      </c>
      <c r="E26" s="1">
        <v>35</v>
      </c>
      <c r="G26" s="5">
        <f t="shared" si="5"/>
        <v>243</v>
      </c>
      <c r="H26" s="6">
        <f t="shared" si="6"/>
        <v>405</v>
      </c>
    </row>
    <row r="27" spans="1:8" ht="15" x14ac:dyDescent="0.25">
      <c r="C27" s="1">
        <v>35</v>
      </c>
      <c r="D27" s="4">
        <v>25</v>
      </c>
      <c r="E27" s="1">
        <v>35</v>
      </c>
      <c r="G27" s="5">
        <f t="shared" si="5"/>
        <v>270</v>
      </c>
      <c r="H27" s="6">
        <f t="shared" si="6"/>
        <v>405</v>
      </c>
    </row>
    <row r="28" spans="1:8" ht="15" x14ac:dyDescent="0.25">
      <c r="C28" s="1">
        <v>35</v>
      </c>
      <c r="D28" s="4">
        <v>30</v>
      </c>
      <c r="E28" s="1">
        <v>35</v>
      </c>
      <c r="G28" s="5">
        <f t="shared" si="5"/>
        <v>337.5</v>
      </c>
      <c r="H28" s="6">
        <f t="shared" si="6"/>
        <v>405</v>
      </c>
    </row>
    <row r="29" spans="1:8" ht="15" x14ac:dyDescent="0.25">
      <c r="C29" s="1">
        <v>35</v>
      </c>
      <c r="D29" s="4">
        <v>35</v>
      </c>
      <c r="E29" s="1">
        <v>35</v>
      </c>
      <c r="G29" s="5">
        <f t="shared" si="5"/>
        <v>405</v>
      </c>
      <c r="H29" s="6">
        <f t="shared" si="6"/>
        <v>405</v>
      </c>
    </row>
  </sheetData>
  <mergeCells count="4">
    <mergeCell ref="B1:C1"/>
    <mergeCell ref="E1:F1"/>
    <mergeCell ref="G1:H1"/>
    <mergeCell ref="Q1:R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 Arvind (CSS ICW AM SOL ME)</dc:creator>
  <cp:lastModifiedBy>Krishnan Arvind (CSS ICW AM SOL ME)</cp:lastModifiedBy>
  <dcterms:created xsi:type="dcterms:W3CDTF">2019-10-17T11:21:27Z</dcterms:created>
  <dcterms:modified xsi:type="dcterms:W3CDTF">2025-11-07T05:16:56Z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2024-04-25T10:16:20Z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e2dac1f7-4854-43ad-866b-5228932d5eaa</vt:lpwstr>
  </property>
  <property fmtid="{D5CDD505-2E9C-101B-9397-08002B2CF9AE}" pid="8" name="MSIP_Label_a15a25aa-e944-415d-b7a7-40f6b9180b6b_ContentBits">
    <vt:lpwstr>0</vt:lpwstr>
  </property>
</Properties>
</file>